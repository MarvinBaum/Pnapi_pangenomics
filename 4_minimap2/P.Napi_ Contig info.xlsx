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<sst xmlns="http://schemas.openxmlformats.org/spreadsheetml/2006/main" count="123" uniqueCount="102">
  <si>
    <t>Contigs from metaspades (before minimap2):</t>
  </si>
  <si>
    <t>does any of this correlate with raw lib size?</t>
  </si>
  <si>
    <t>Sampling location:</t>
  </si>
  <si>
    <t>Number of contigs:</t>
  </si>
  <si>
    <t>Contigs &gt;1kb:</t>
  </si>
  <si>
    <t>Contigs &gt;10kb:</t>
  </si>
  <si>
    <t>Total basepairs:</t>
  </si>
  <si>
    <t>N50:</t>
  </si>
  <si>
    <t>L50:</t>
  </si>
  <si>
    <t>total M seqs</t>
  </si>
  <si>
    <t>mapped 1</t>
  </si>
  <si>
    <t>mapped 2</t>
  </si>
  <si>
    <t>unmapped 1</t>
  </si>
  <si>
    <t>unmapped 2</t>
  </si>
  <si>
    <t>percent 2</t>
  </si>
  <si>
    <t>total</t>
  </si>
  <si>
    <t>&gt;1kb</t>
  </si>
  <si>
    <t>&gt;10kb</t>
  </si>
  <si>
    <t xml:space="preserve">C13stmor_contigs </t>
  </si>
  <si>
    <t>E12aigua_contigs</t>
  </si>
  <si>
    <t>S14skanF_contigs</t>
  </si>
  <si>
    <t>S14skanM_contigs</t>
  </si>
  <si>
    <t>S15lulea_contigs</t>
  </si>
  <si>
    <t>S15stoEA_contigs</t>
  </si>
  <si>
    <t>S15stoLA_contigs</t>
  </si>
  <si>
    <t>S15stoMJ_contigs</t>
  </si>
  <si>
    <t>S15sunds_contigs</t>
  </si>
  <si>
    <t>S15umea_contigs</t>
  </si>
  <si>
    <t>Contig reduction after minimap2:</t>
  </si>
  <si>
    <t>raw no correlated with library size - makes sense</t>
  </si>
  <si>
    <t>Reduction in contig number:</t>
  </si>
  <si>
    <t>but no apparent link between the number of large contigs</t>
  </si>
  <si>
    <t>352447 -&gt; 332346</t>
  </si>
  <si>
    <t>and the input lib size?</t>
  </si>
  <si>
    <t>465624 -&gt; 438655</t>
  </si>
  <si>
    <t>looks like larger contigs correlated to percent unmapped</t>
  </si>
  <si>
    <t>529223 -&gt; 504064</t>
  </si>
  <si>
    <t>which also makes sense</t>
  </si>
  <si>
    <t>372796 -&gt; 353484</t>
  </si>
  <si>
    <t>287842 -&gt; 270891</t>
  </si>
  <si>
    <t>849292 -&gt; 756320</t>
  </si>
  <si>
    <t>930954 -&gt; 791443</t>
  </si>
  <si>
    <t>848408 -&gt; 748594</t>
  </si>
  <si>
    <t>248964 -&gt; 231117</t>
  </si>
  <si>
    <t>304491 -&gt; 281571</t>
  </si>
  <si>
    <t>Refrence genome:</t>
  </si>
  <si>
    <t>N50: 13068865</t>
  </si>
  <si>
    <t>L50: 12</t>
  </si>
  <si>
    <t>Larger contigs</t>
  </si>
  <si>
    <t>C13stmor: total=352447</t>
  </si>
  <si>
    <t>&gt;1kb=5848</t>
  </si>
  <si>
    <t>&gt;10kb=21</t>
  </si>
  <si>
    <t>E12aigua: total=465624</t>
  </si>
  <si>
    <t>&gt;1kb=7894</t>
  </si>
  <si>
    <t>&gt;10kb=31</t>
  </si>
  <si>
    <t>S14skanF: total=529223</t>
  </si>
  <si>
    <t>&gt;1kb=12210</t>
  </si>
  <si>
    <t>&gt;10kb=888</t>
  </si>
  <si>
    <t>S14skanM: total=372796</t>
  </si>
  <si>
    <t>&gt;1kb=8601</t>
  </si>
  <si>
    <t>&gt;10kb=798</t>
  </si>
  <si>
    <t>S15lulea: total=287842</t>
  </si>
  <si>
    <t>&gt;1kb=7267</t>
  </si>
  <si>
    <t>&gt;10kb=2</t>
  </si>
  <si>
    <t>S15stoEA: total=849292</t>
  </si>
  <si>
    <t>&gt;1kb=11176</t>
  </si>
  <si>
    <t>&gt;10kb=73</t>
  </si>
  <si>
    <t>S15stoLA: total=930954</t>
  </si>
  <si>
    <t>&gt;1kb=12958</t>
  </si>
  <si>
    <t>&gt;10kb=180</t>
  </si>
  <si>
    <t>S15stoMJ: total=848408</t>
  </si>
  <si>
    <t>&gt;1kb=7702</t>
  </si>
  <si>
    <t>&gt;10kb=0</t>
  </si>
  <si>
    <t>S15sunds: total=248964</t>
  </si>
  <si>
    <t>&gt;1kb=9455</t>
  </si>
  <si>
    <t>&gt;10kb=197</t>
  </si>
  <si>
    <t>S15umea: total=304491</t>
  </si>
  <si>
    <t>&gt;1kb=10325</t>
  </si>
  <si>
    <t>&gt;10kb=1</t>
  </si>
  <si>
    <t>Larger contigs after minimap2 filtering</t>
  </si>
  <si>
    <t>C13stmor: total=332346</t>
  </si>
  <si>
    <t>&gt;1kb=3906</t>
  </si>
  <si>
    <t>E12aigua: total=438655</t>
  </si>
  <si>
    <t>&gt;1kb=5692</t>
  </si>
  <si>
    <t>S14skanF: total=504064</t>
  </si>
  <si>
    <t>&gt;1kb=10018</t>
  </si>
  <si>
    <t>S14skanM: total=353484</t>
  </si>
  <si>
    <t>&gt;1kb=7150</t>
  </si>
  <si>
    <t>S15lulea: total=270891</t>
  </si>
  <si>
    <t>&gt;1kb=4678</t>
  </si>
  <si>
    <t>S15stoEA: total=756320</t>
  </si>
  <si>
    <t>&gt;1kb=7822</t>
  </si>
  <si>
    <t>S15stoLA: total=791443</t>
  </si>
  <si>
    <t>&gt;1kb=5207</t>
  </si>
  <si>
    <t>&gt;10kb=179</t>
  </si>
  <si>
    <t>S15stoMJ: total=748594</t>
  </si>
  <si>
    <t>&gt;1kb=3792</t>
  </si>
  <si>
    <t>S15sunds: total=231117</t>
  </si>
  <si>
    <t>&gt;1kb=6534</t>
  </si>
  <si>
    <t>&gt;10kb=196</t>
  </si>
  <si>
    <t>S15umea: total=281571</t>
  </si>
  <si>
    <t>&gt;1kb=6622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</si>
</sst>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2" xfId="0" applyFont="1" applyNumberFormat="1"/>
    <xf borderId="0" fillId="0" fontId="2" numFmtId="2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5.75"/>
    <col customWidth="1" min="2" max="2" width="23.63"/>
    <col customWidth="1" min="3" max="3" width="15.25"/>
    <col customWidth="1" min="5" max="5" width="13.75"/>
  </cols>
  <sheetData>
    <row r="1">
      <c r="A1" s="1" t="s">
        <v>0</v>
      </c>
      <c r="I1" s="1" t="s">
        <v>1</v>
      </c>
    </row>
    <row r="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</row>
    <row r="3">
      <c r="A3" s="3" t="s">
        <v>18</v>
      </c>
      <c r="B3" s="4">
        <v>352447.0</v>
      </c>
      <c r="C3" s="4">
        <v>5848.0</v>
      </c>
      <c r="D3" s="4">
        <v>21.0</v>
      </c>
      <c r="E3" s="3">
        <v>9.829768E7</v>
      </c>
      <c r="F3" s="3">
        <v>296.0</v>
      </c>
      <c r="G3" s="3">
        <v>87.281</v>
      </c>
      <c r="I3" s="5">
        <v>272.6</v>
      </c>
      <c r="J3" s="5">
        <v>267.2</v>
      </c>
      <c r="K3" s="5">
        <v>261.6</v>
      </c>
      <c r="L3" s="6">
        <f t="shared" ref="L3:L12" si="1">I3-J3</f>
        <v>5.4</v>
      </c>
      <c r="M3" s="6">
        <f t="shared" ref="M3:M12" si="2">I3-K3</f>
        <v>11</v>
      </c>
      <c r="N3" s="7">
        <f t="shared" ref="N3:N12" si="3">(M3/I3)*100</f>
        <v>4.035216434</v>
      </c>
      <c r="O3" s="8">
        <v>332346.0</v>
      </c>
      <c r="P3" s="8">
        <v>3906.0</v>
      </c>
      <c r="Q3" s="8">
        <v>21.0</v>
      </c>
    </row>
    <row r="4">
      <c r="A4" s="3" t="s">
        <v>19</v>
      </c>
      <c r="B4" s="3">
        <v>465624.0</v>
      </c>
      <c r="C4" s="4">
        <v>7894.0</v>
      </c>
      <c r="D4" s="4">
        <v>31.0</v>
      </c>
      <c r="E4" s="3">
        <v>1.24532179E8</v>
      </c>
      <c r="F4" s="3">
        <v>291.0</v>
      </c>
      <c r="G4" s="3">
        <v>113.7</v>
      </c>
      <c r="I4" s="5">
        <v>348.7</v>
      </c>
      <c r="J4" s="5">
        <v>343.6</v>
      </c>
      <c r="K4" s="5">
        <v>336.1</v>
      </c>
      <c r="L4" s="6">
        <f t="shared" si="1"/>
        <v>5.1</v>
      </c>
      <c r="M4" s="6">
        <f t="shared" si="2"/>
        <v>12.6</v>
      </c>
      <c r="N4" s="7">
        <f t="shared" si="3"/>
        <v>3.613421279</v>
      </c>
      <c r="O4" s="8">
        <v>438655.0</v>
      </c>
      <c r="P4" s="8">
        <v>5692.0</v>
      </c>
      <c r="Q4" s="8">
        <v>31.0</v>
      </c>
    </row>
    <row r="5">
      <c r="A5" s="3" t="s">
        <v>20</v>
      </c>
      <c r="B5" s="3">
        <v>529223.0</v>
      </c>
      <c r="C5" s="4">
        <v>12210.0</v>
      </c>
      <c r="D5" s="4">
        <v>888.0</v>
      </c>
      <c r="E5" s="3">
        <v>1.72283369E8</v>
      </c>
      <c r="F5" s="3">
        <v>371.0</v>
      </c>
      <c r="G5" s="3">
        <v>71.434</v>
      </c>
      <c r="I5" s="5">
        <v>388.8</v>
      </c>
      <c r="J5" s="5">
        <v>375.3</v>
      </c>
      <c r="K5" s="5">
        <v>367.5</v>
      </c>
      <c r="L5" s="6">
        <f t="shared" si="1"/>
        <v>13.5</v>
      </c>
      <c r="M5" s="6">
        <f t="shared" si="2"/>
        <v>21.3</v>
      </c>
      <c r="N5" s="7">
        <f t="shared" si="3"/>
        <v>5.478395062</v>
      </c>
      <c r="O5" s="8">
        <v>504064.0</v>
      </c>
      <c r="P5" s="8">
        <v>10018.0</v>
      </c>
      <c r="Q5" s="8">
        <v>888.0</v>
      </c>
    </row>
    <row r="6">
      <c r="A6" s="3" t="s">
        <v>21</v>
      </c>
      <c r="B6" s="3">
        <v>372796.0</v>
      </c>
      <c r="C6" s="4">
        <v>8601.0</v>
      </c>
      <c r="D6" s="4">
        <v>798.0</v>
      </c>
      <c r="E6" s="3">
        <v>1.51202487E8</v>
      </c>
      <c r="F6" s="3">
        <v>596.0</v>
      </c>
      <c r="G6" s="3">
        <v>27.06</v>
      </c>
      <c r="I6" s="5">
        <v>314.3</v>
      </c>
      <c r="J6" s="5">
        <v>287.6</v>
      </c>
      <c r="K6" s="5">
        <v>281.7</v>
      </c>
      <c r="L6" s="6">
        <f t="shared" si="1"/>
        <v>26.7</v>
      </c>
      <c r="M6" s="6">
        <f t="shared" si="2"/>
        <v>32.6</v>
      </c>
      <c r="N6" s="7">
        <f t="shared" si="3"/>
        <v>10.37225581</v>
      </c>
      <c r="O6" s="8">
        <v>353484.0</v>
      </c>
      <c r="P6" s="8">
        <v>7150.0</v>
      </c>
      <c r="Q6" s="8">
        <v>798.0</v>
      </c>
    </row>
    <row r="7">
      <c r="A7" s="3" t="s">
        <v>22</v>
      </c>
      <c r="B7" s="3">
        <v>287842.0</v>
      </c>
      <c r="C7" s="4">
        <v>7267.0</v>
      </c>
      <c r="D7" s="4">
        <v>2.0</v>
      </c>
      <c r="E7" s="3">
        <v>9.0769511E7</v>
      </c>
      <c r="F7" s="3">
        <v>319.0</v>
      </c>
      <c r="G7" s="3">
        <v>77.303</v>
      </c>
      <c r="I7" s="5">
        <v>146.5</v>
      </c>
      <c r="J7" s="5">
        <v>151.6</v>
      </c>
      <c r="K7" s="5">
        <v>142.4</v>
      </c>
      <c r="L7" s="6">
        <f t="shared" si="1"/>
        <v>-5.1</v>
      </c>
      <c r="M7" s="6">
        <f t="shared" si="2"/>
        <v>4.1</v>
      </c>
      <c r="N7" s="7">
        <f t="shared" si="3"/>
        <v>2.798634812</v>
      </c>
      <c r="O7" s="8">
        <v>270891.0</v>
      </c>
      <c r="P7" s="8">
        <v>4678.0</v>
      </c>
      <c r="Q7" s="8">
        <v>1.0</v>
      </c>
    </row>
    <row r="8">
      <c r="A8" s="3" t="s">
        <v>23</v>
      </c>
      <c r="B8" s="3">
        <v>849292.0</v>
      </c>
      <c r="C8" s="4">
        <v>11176.0</v>
      </c>
      <c r="D8" s="4">
        <v>73.0</v>
      </c>
      <c r="E8" s="3">
        <v>2.39220443E8</v>
      </c>
      <c r="F8" s="3">
        <v>356.0</v>
      </c>
      <c r="G8" s="3">
        <v>202.009</v>
      </c>
      <c r="I8" s="5">
        <v>643.5</v>
      </c>
      <c r="J8" s="5">
        <v>628.8</v>
      </c>
      <c r="K8" s="5">
        <v>614.4</v>
      </c>
      <c r="L8" s="6">
        <f t="shared" si="1"/>
        <v>14.7</v>
      </c>
      <c r="M8" s="6">
        <f t="shared" si="2"/>
        <v>29.1</v>
      </c>
      <c r="N8" s="7">
        <f t="shared" si="3"/>
        <v>4.522144522</v>
      </c>
      <c r="O8" s="8">
        <v>756320.0</v>
      </c>
      <c r="P8" s="8">
        <v>7822.0</v>
      </c>
      <c r="Q8" s="8">
        <v>73.0</v>
      </c>
    </row>
    <row r="9">
      <c r="A9" s="3" t="s">
        <v>24</v>
      </c>
      <c r="B9" s="3">
        <v>930954.0</v>
      </c>
      <c r="C9" s="4">
        <v>12958.0</v>
      </c>
      <c r="D9" s="4">
        <v>180.0</v>
      </c>
      <c r="E9" s="3">
        <v>2.73193319E8</v>
      </c>
      <c r="F9" s="3">
        <v>374.0</v>
      </c>
      <c r="G9" s="3">
        <v>224.882</v>
      </c>
      <c r="I9" s="5">
        <v>640.2</v>
      </c>
      <c r="J9" s="5">
        <v>619.8</v>
      </c>
      <c r="K9" s="5">
        <v>606.5</v>
      </c>
      <c r="L9" s="6">
        <f t="shared" si="1"/>
        <v>20.4</v>
      </c>
      <c r="M9" s="6">
        <f t="shared" si="2"/>
        <v>33.7</v>
      </c>
      <c r="N9" s="7">
        <f t="shared" si="3"/>
        <v>5.263980006</v>
      </c>
      <c r="O9" s="8">
        <v>791443.0</v>
      </c>
      <c r="P9" s="8">
        <v>5207.0</v>
      </c>
      <c r="Q9" s="8">
        <v>179.0</v>
      </c>
    </row>
    <row r="10">
      <c r="A10" s="3" t="s">
        <v>25</v>
      </c>
      <c r="B10" s="3">
        <v>848408.0</v>
      </c>
      <c r="C10" s="4">
        <v>7702.0</v>
      </c>
      <c r="D10" s="4">
        <v>0.0</v>
      </c>
      <c r="E10" s="3">
        <v>2.28820385E8</v>
      </c>
      <c r="F10" s="3">
        <v>345.0</v>
      </c>
      <c r="G10" s="3">
        <v>213.385</v>
      </c>
      <c r="I10" s="5">
        <v>661.1</v>
      </c>
      <c r="J10" s="5">
        <v>647.3</v>
      </c>
      <c r="K10" s="5">
        <v>632.8</v>
      </c>
      <c r="L10" s="6">
        <f t="shared" si="1"/>
        <v>13.8</v>
      </c>
      <c r="M10" s="6">
        <f t="shared" si="2"/>
        <v>28.3</v>
      </c>
      <c r="N10" s="7">
        <f t="shared" si="3"/>
        <v>4.280744214</v>
      </c>
      <c r="O10" s="8">
        <v>748594.0</v>
      </c>
      <c r="P10" s="8">
        <v>3792.0</v>
      </c>
      <c r="Q10" s="8">
        <v>0.0</v>
      </c>
    </row>
    <row r="11">
      <c r="A11" s="3" t="s">
        <v>26</v>
      </c>
      <c r="B11" s="3">
        <v>248964.0</v>
      </c>
      <c r="C11" s="4">
        <v>9455.0</v>
      </c>
      <c r="D11" s="4">
        <v>197.0</v>
      </c>
      <c r="E11" s="3">
        <v>8.9127029E7</v>
      </c>
      <c r="F11" s="3">
        <v>408.0</v>
      </c>
      <c r="G11" s="3">
        <v>50.422</v>
      </c>
      <c r="I11" s="5">
        <v>170.8</v>
      </c>
      <c r="J11" s="5">
        <v>177.9</v>
      </c>
      <c r="K11" s="5">
        <v>167.0</v>
      </c>
      <c r="L11" s="6">
        <f t="shared" si="1"/>
        <v>-7.1</v>
      </c>
      <c r="M11" s="6">
        <f t="shared" si="2"/>
        <v>3.8</v>
      </c>
      <c r="N11" s="7">
        <f t="shared" si="3"/>
        <v>2.224824356</v>
      </c>
      <c r="O11" s="8">
        <v>231117.0</v>
      </c>
      <c r="P11" s="8">
        <v>6534.0</v>
      </c>
      <c r="Q11" s="8">
        <v>196.0</v>
      </c>
    </row>
    <row r="12">
      <c r="A12" s="3" t="s">
        <v>27</v>
      </c>
      <c r="B12" s="3">
        <v>304491.0</v>
      </c>
      <c r="C12" s="4">
        <v>10325.0</v>
      </c>
      <c r="D12" s="4">
        <v>1.0</v>
      </c>
      <c r="E12" s="3">
        <v>9.9934546E7</v>
      </c>
      <c r="F12" s="3">
        <v>361.0</v>
      </c>
      <c r="G12" s="3">
        <v>72.338</v>
      </c>
      <c r="I12" s="5">
        <v>213.5</v>
      </c>
      <c r="J12" s="5">
        <v>222.7</v>
      </c>
      <c r="K12" s="5">
        <v>209.1</v>
      </c>
      <c r="L12" s="6">
        <f t="shared" si="1"/>
        <v>-9.2</v>
      </c>
      <c r="M12" s="6">
        <f t="shared" si="2"/>
        <v>4.4</v>
      </c>
      <c r="N12" s="7">
        <f t="shared" si="3"/>
        <v>2.06088993</v>
      </c>
      <c r="O12" s="8">
        <v>281571.0</v>
      </c>
      <c r="P12" s="8">
        <v>6622.0</v>
      </c>
      <c r="Q12" s="8">
        <v>0.0</v>
      </c>
    </row>
    <row r="14">
      <c r="A14" s="1" t="s">
        <v>28</v>
      </c>
      <c r="N14" s="8"/>
      <c r="O14" s="1" t="s">
        <v>29</v>
      </c>
      <c r="P14" s="8"/>
    </row>
    <row r="15">
      <c r="A15" s="2" t="s">
        <v>2</v>
      </c>
      <c r="B15" s="2" t="s">
        <v>30</v>
      </c>
      <c r="C15" s="2" t="s">
        <v>4</v>
      </c>
      <c r="D15" s="2" t="s">
        <v>5</v>
      </c>
      <c r="M15" s="9"/>
      <c r="N15" s="8"/>
      <c r="O15" s="1" t="s">
        <v>31</v>
      </c>
      <c r="P15" s="8"/>
      <c r="R15" s="9"/>
    </row>
    <row r="16">
      <c r="A16" s="3" t="s">
        <v>18</v>
      </c>
      <c r="B16" s="3" t="s">
        <v>32</v>
      </c>
      <c r="C16" s="4">
        <v>3906.0</v>
      </c>
      <c r="D16" s="4">
        <v>21.0</v>
      </c>
      <c r="M16" s="9"/>
      <c r="N16" s="8"/>
      <c r="O16" s="1" t="s">
        <v>33</v>
      </c>
      <c r="P16" s="8"/>
    </row>
    <row r="17">
      <c r="A17" s="3" t="s">
        <v>19</v>
      </c>
      <c r="B17" s="3" t="s">
        <v>34</v>
      </c>
      <c r="C17" s="4">
        <v>5692.0</v>
      </c>
      <c r="D17" s="4">
        <v>31.0</v>
      </c>
      <c r="N17" s="8"/>
      <c r="O17" s="1" t="s">
        <v>35</v>
      </c>
      <c r="P17" s="8"/>
    </row>
    <row r="18">
      <c r="A18" s="3" t="s">
        <v>20</v>
      </c>
      <c r="B18" s="3" t="s">
        <v>36</v>
      </c>
      <c r="C18" s="4">
        <v>10018.0</v>
      </c>
      <c r="D18" s="4">
        <v>888.0</v>
      </c>
      <c r="N18" s="8"/>
      <c r="O18" s="1" t="s">
        <v>37</v>
      </c>
      <c r="P18" s="8"/>
    </row>
    <row r="19">
      <c r="A19" s="3" t="s">
        <v>21</v>
      </c>
      <c r="B19" s="3" t="s">
        <v>38</v>
      </c>
      <c r="C19" s="4">
        <v>7150.0</v>
      </c>
      <c r="D19" s="4">
        <v>798.0</v>
      </c>
      <c r="N19" s="8"/>
      <c r="P19" s="8"/>
    </row>
    <row r="20">
      <c r="A20" s="3" t="s">
        <v>22</v>
      </c>
      <c r="B20" s="3" t="s">
        <v>39</v>
      </c>
      <c r="C20" s="4">
        <v>4678.0</v>
      </c>
      <c r="D20" s="4">
        <v>1.0</v>
      </c>
      <c r="N20" s="8"/>
      <c r="P20" s="8"/>
    </row>
    <row r="21">
      <c r="A21" s="3" t="s">
        <v>23</v>
      </c>
      <c r="B21" s="3" t="s">
        <v>40</v>
      </c>
      <c r="C21" s="4">
        <v>7822.0</v>
      </c>
      <c r="D21" s="4">
        <v>73.0</v>
      </c>
      <c r="N21" s="8"/>
      <c r="P21" s="8"/>
    </row>
    <row r="22">
      <c r="A22" s="3" t="s">
        <v>24</v>
      </c>
      <c r="B22" s="3" t="s">
        <v>41</v>
      </c>
      <c r="C22" s="4">
        <v>5207.0</v>
      </c>
      <c r="D22" s="4">
        <v>179.0</v>
      </c>
      <c r="N22" s="8"/>
      <c r="P22" s="8"/>
    </row>
    <row r="23">
      <c r="A23" s="3" t="s">
        <v>25</v>
      </c>
      <c r="B23" s="3" t="s">
        <v>42</v>
      </c>
      <c r="C23" s="4">
        <v>3792.0</v>
      </c>
      <c r="D23" s="4">
        <v>0.0</v>
      </c>
      <c r="N23" s="8"/>
      <c r="P23" s="8"/>
    </row>
    <row r="24">
      <c r="A24" s="3" t="s">
        <v>26</v>
      </c>
      <c r="B24" s="3" t="s">
        <v>43</v>
      </c>
      <c r="C24" s="4">
        <v>6534.0</v>
      </c>
      <c r="D24" s="4">
        <v>196.0</v>
      </c>
    </row>
    <row r="25">
      <c r="A25" s="3" t="s">
        <v>27</v>
      </c>
      <c r="B25" s="3" t="s">
        <v>44</v>
      </c>
      <c r="C25" s="4">
        <v>6622.0</v>
      </c>
      <c r="D25" s="4">
        <v>0.0</v>
      </c>
    </row>
    <row r="27">
      <c r="A27" s="1" t="s">
        <v>45</v>
      </c>
    </row>
    <row r="28">
      <c r="A28" s="4" t="s">
        <v>46</v>
      </c>
    </row>
    <row r="29">
      <c r="A29" s="4" t="s">
        <v>47</v>
      </c>
    </row>
    <row r="31">
      <c r="A31" s="1" t="s">
        <v>48</v>
      </c>
    </row>
    <row r="32">
      <c r="A32" s="8" t="s">
        <v>49</v>
      </c>
      <c r="B32" s="8" t="s">
        <v>50</v>
      </c>
      <c r="C32" s="8" t="s">
        <v>51</v>
      </c>
    </row>
    <row r="33">
      <c r="A33" s="8" t="s">
        <v>52</v>
      </c>
      <c r="B33" s="8" t="s">
        <v>53</v>
      </c>
      <c r="C33" s="8" t="s">
        <v>54</v>
      </c>
    </row>
    <row r="34">
      <c r="A34" s="8" t="s">
        <v>55</v>
      </c>
      <c r="B34" s="8" t="s">
        <v>56</v>
      </c>
      <c r="C34" s="8" t="s">
        <v>57</v>
      </c>
    </row>
    <row r="35">
      <c r="A35" s="8" t="s">
        <v>58</v>
      </c>
      <c r="B35" s="8" t="s">
        <v>59</v>
      </c>
      <c r="C35" s="8" t="s">
        <v>60</v>
      </c>
    </row>
    <row r="36">
      <c r="A36" s="8" t="s">
        <v>61</v>
      </c>
      <c r="B36" s="8" t="s">
        <v>62</v>
      </c>
      <c r="C36" s="8" t="s">
        <v>63</v>
      </c>
    </row>
    <row r="37">
      <c r="A37" s="8" t="s">
        <v>64</v>
      </c>
      <c r="B37" s="8" t="s">
        <v>65</v>
      </c>
      <c r="C37" s="8" t="s">
        <v>66</v>
      </c>
    </row>
    <row r="38">
      <c r="A38" s="8" t="s">
        <v>67</v>
      </c>
      <c r="B38" s="8" t="s">
        <v>68</v>
      </c>
      <c r="C38" s="8" t="s">
        <v>69</v>
      </c>
    </row>
    <row r="39">
      <c r="A39" s="8" t="s">
        <v>70</v>
      </c>
      <c r="B39" s="8" t="s">
        <v>71</v>
      </c>
      <c r="C39" s="8" t="s">
        <v>72</v>
      </c>
    </row>
    <row r="40">
      <c r="A40" s="8" t="s">
        <v>73</v>
      </c>
      <c r="B40" s="8" t="s">
        <v>74</v>
      </c>
      <c r="C40" s="8" t="s">
        <v>75</v>
      </c>
    </row>
    <row r="41">
      <c r="A41" s="8" t="s">
        <v>76</v>
      </c>
      <c r="B41" s="8" t="s">
        <v>77</v>
      </c>
      <c r="C41" s="8" t="s">
        <v>78</v>
      </c>
    </row>
    <row r="43">
      <c r="A43" s="1" t="s">
        <v>79</v>
      </c>
    </row>
    <row r="44">
      <c r="A44" s="8" t="s">
        <v>80</v>
      </c>
      <c r="B44" s="8" t="s">
        <v>81</v>
      </c>
      <c r="C44" s="8" t="s">
        <v>51</v>
      </c>
    </row>
    <row r="45">
      <c r="A45" s="8" t="s">
        <v>82</v>
      </c>
      <c r="B45" s="8" t="s">
        <v>83</v>
      </c>
      <c r="C45" s="8" t="s">
        <v>54</v>
      </c>
    </row>
    <row r="46">
      <c r="A46" s="8" t="s">
        <v>84</v>
      </c>
      <c r="B46" s="8" t="s">
        <v>85</v>
      </c>
      <c r="C46" s="8" t="s">
        <v>57</v>
      </c>
    </row>
    <row r="47">
      <c r="A47" s="8" t="s">
        <v>86</v>
      </c>
      <c r="B47" s="8" t="s">
        <v>87</v>
      </c>
      <c r="C47" s="8" t="s">
        <v>60</v>
      </c>
    </row>
    <row r="48">
      <c r="A48" s="8" t="s">
        <v>88</v>
      </c>
      <c r="B48" s="8" t="s">
        <v>89</v>
      </c>
      <c r="C48" s="8" t="s">
        <v>78</v>
      </c>
    </row>
    <row r="49">
      <c r="A49" s="8" t="s">
        <v>90</v>
      </c>
      <c r="B49" s="8" t="s">
        <v>91</v>
      </c>
      <c r="C49" s="8" t="s">
        <v>66</v>
      </c>
    </row>
    <row r="50">
      <c r="A50" s="8" t="s">
        <v>92</v>
      </c>
      <c r="B50" s="8" t="s">
        <v>93</v>
      </c>
      <c r="C50" s="8" t="s">
        <v>94</v>
      </c>
    </row>
    <row r="51">
      <c r="A51" s="8" t="s">
        <v>95</v>
      </c>
      <c r="B51" s="8" t="s">
        <v>96</v>
      </c>
      <c r="C51" s="8" t="s">
        <v>72</v>
      </c>
    </row>
    <row r="52">
      <c r="A52" s="8" t="s">
        <v>97</v>
      </c>
      <c r="B52" s="8" t="s">
        <v>98</v>
      </c>
      <c r="C52" s="8" t="s">
        <v>99</v>
      </c>
    </row>
    <row r="53">
      <c r="A53" s="8" t="s">
        <v>100</v>
      </c>
      <c r="B53" s="8" t="s">
        <v>101</v>
      </c>
      <c r="C53" s="8" t="s">
        <v>72</v>
      </c>
    </row>
  </sheetData>
  <conditionalFormatting sqref="I3:I12">
    <cfRule type="colorScale" priority="1">
      <colorScale>
        <cfvo type="min"/>
        <cfvo type="max"/>
        <color rgb="FFFFFFFF"/>
        <color rgb="FF57BB8A"/>
      </colorScale>
    </cfRule>
  </conditionalFormatting>
  <conditionalFormatting sqref="N3:N12">
    <cfRule type="colorScale" priority="2">
      <colorScale>
        <cfvo type="min"/>
        <cfvo type="max"/>
        <color rgb="FFFFFFFF"/>
        <color rgb="FF57BB8A"/>
      </colorScale>
    </cfRule>
  </conditionalFormatting>
  <conditionalFormatting sqref="M3:M12">
    <cfRule type="colorScale" priority="3">
      <colorScale>
        <cfvo type="min"/>
        <cfvo type="max"/>
        <color rgb="FFFFFFFF"/>
        <color rgb="FF57BB8A"/>
      </colorScale>
    </cfRule>
  </conditionalFormatting>
  <conditionalFormatting sqref="O3:O12">
    <cfRule type="colorScale" priority="4">
      <colorScale>
        <cfvo type="min"/>
        <cfvo type="max"/>
        <color rgb="FFFFFFFF"/>
        <color rgb="FF57BB8A"/>
      </colorScale>
    </cfRule>
  </conditionalFormatting>
  <conditionalFormatting sqref="P3:P12">
    <cfRule type="colorScale" priority="5">
      <colorScale>
        <cfvo type="min"/>
        <cfvo type="max"/>
        <color rgb="FFFFFFFF"/>
        <color rgb="FF57BB8A"/>
      </colorScale>
    </cfRule>
  </conditionalFormatting>
  <conditionalFormatting sqref="Q3:Q12">
    <cfRule type="colorScale" priority="6">
      <colorScale>
        <cfvo type="min"/>
        <cfvo type="max"/>
        <color rgb="FFFFFFFF"/>
        <color rgb="FF57BB8A"/>
      </colorScale>
    </cfRule>
  </conditionalFormatting>
  <drawing r:id="rId1"/>
</worksheet>
</file>